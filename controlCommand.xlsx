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imis\Documents\MATLAB\CUonOrbit\CUonOrbit_ADCSapp-NimishDhawan\"/>
    </mc:Choice>
  </mc:AlternateContent>
  <xr:revisionPtr revIDLastSave="0" documentId="13_ncr:1_{7C513332-368D-4F72-81C4-049F82DA76C6}" xr6:coauthVersionLast="47" xr6:coauthVersionMax="47" xr10:uidLastSave="{00000000-0000-0000-0000-000000000000}"/>
  <bookViews>
    <workbookView xWindow="6195" yWindow="3105" windowWidth="16515" windowHeight="10110" xr2:uid="{00000000-000D-0000-FFFF-FFFF00000000}"/>
  </bookViews>
  <sheets>
    <sheet name="commands" sheetId="2" r:id="rId1"/>
    <sheet name="21_06_2025" sheetId="4" r:id="rId2"/>
    <sheet name="LEOP Scenario - 1 Day" sheetId="3" r:id="rId3"/>
    <sheet name="readMe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B12" i="2" s="1"/>
  <c r="A13" i="2"/>
  <c r="B13" i="2" s="1"/>
  <c r="A6" i="2"/>
  <c r="A7" i="2" s="1"/>
  <c r="A8" i="2" s="1"/>
  <c r="A9" i="2" s="1"/>
  <c r="A10" i="2" s="1"/>
  <c r="A11" i="2" s="1"/>
  <c r="A4" i="2"/>
  <c r="A5" i="2" s="1"/>
  <c r="A3" i="2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" i="4"/>
  <c r="B2" i="2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A3" i="3"/>
  <c r="B3" i="3" s="1"/>
  <c r="B2" i="3"/>
  <c r="A14" i="2" l="1"/>
  <c r="B4" i="2"/>
  <c r="B3" i="2"/>
  <c r="B14" i="2" l="1"/>
  <c r="A15" i="2"/>
  <c r="B5" i="2"/>
  <c r="B15" i="2" l="1"/>
  <c r="A16" i="2"/>
  <c r="B6" i="2"/>
  <c r="B16" i="2" l="1"/>
  <c r="A17" i="2"/>
  <c r="B17" i="2" s="1"/>
  <c r="B7" i="2"/>
  <c r="B8" i="2" l="1"/>
  <c r="B9" i="2" l="1"/>
  <c r="B10" i="2" l="1"/>
  <c r="B11" i="2"/>
</calcChain>
</file>

<file path=xl/sharedStrings.xml><?xml version="1.0" encoding="utf-8"?>
<sst xmlns="http://schemas.openxmlformats.org/spreadsheetml/2006/main" count="25" uniqueCount="15">
  <si>
    <t>Time</t>
  </si>
  <si>
    <t>rodsEnable</t>
  </si>
  <si>
    <t>wheelsEnabled</t>
  </si>
  <si>
    <t>pointingMode</t>
  </si>
  <si>
    <t>UTC</t>
  </si>
  <si>
    <t>Pointing Mode</t>
  </si>
  <si>
    <t>Target</t>
  </si>
  <si>
    <t>Nadir</t>
  </si>
  <si>
    <t>Sun</t>
  </si>
  <si>
    <t>Ground Station</t>
  </si>
  <si>
    <t>Detumble</t>
  </si>
  <si>
    <t>Desaturation</t>
  </si>
  <si>
    <t>Safe Mode</t>
  </si>
  <si>
    <t>No control</t>
  </si>
  <si>
    <t>Copy first two rows for detumble and LEOP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</si>
</sst>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\:mm\:ss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082E-BA2A-44C1-A93A-2F9CB2B05B5C}">
  <dimension ref="A1:E22"/>
  <sheetViews>
    <sheetView tabSelected="1" zoomScale="120" zoomScaleNormal="120" workbookViewId="0">
      <selection activeCell="F8" sqref="F8"/>
    </sheetView>
  </sheetViews>
  <sheetFormatPr defaultRowHeight="15" x14ac:dyDescent="0.25"/>
  <cols>
    <col min="1" max="1" width="19.42578125" bestFit="1" customWidth="1"/>
    <col min="2" max="2" width="10.28515625" customWidth="1"/>
    <col min="3" max="3" width="13.7109375" bestFit="1" customWidth="1"/>
    <col min="4" max="4" width="10.85546875" bestFit="1" customWidth="1"/>
    <col min="5" max="5" width="14.7109375" bestFit="1" customWidth="1"/>
  </cols>
  <sheetData>
    <row r="1" spans="1:5" x14ac:dyDescent="0.25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5" x14ac:dyDescent="0.25">
      <c r="A2" s="1">
        <v>45829</v>
      </c>
      <c r="B2">
        <f>(A2 - A$2) * 86400</f>
        <v>0</v>
      </c>
      <c r="C2">
        <v>0</v>
      </c>
      <c r="D2">
        <v>0</v>
      </c>
      <c r="E2">
        <v>1</v>
      </c>
    </row>
    <row r="3" spans="1:5" x14ac:dyDescent="0.25">
      <c r="A3" s="1">
        <f>A2+TIME(0,0,6000)</f>
        <v>45829.069444444445</v>
      </c>
      <c r="B3">
        <f>(A3 - A$2) * 86400</f>
        <v>6000.0000000698492</v>
      </c>
      <c r="C3">
        <v>1</v>
      </c>
      <c r="D3">
        <v>0</v>
      </c>
      <c r="E3">
        <v>1</v>
      </c>
    </row>
    <row r="4" spans="1:5" x14ac:dyDescent="0.25">
      <c r="A4" s="1">
        <f>A3+TIME(0,0,6000)</f>
        <v>45829.138888888891</v>
      </c>
      <c r="B4">
        <f t="shared" ref="B4:B11" si="0">(A4 - A$2) * 86400</f>
        <v>12000.000000139698</v>
      </c>
      <c r="C4">
        <v>0</v>
      </c>
      <c r="D4">
        <v>0</v>
      </c>
      <c r="E4">
        <v>1</v>
      </c>
    </row>
    <row r="5" spans="1:5" x14ac:dyDescent="0.25">
      <c r="A5" s="1">
        <f>A4+TIME(0,0,6000)</f>
        <v>45829.208333333336</v>
      </c>
      <c r="B5">
        <f t="shared" si="0"/>
        <v>18000.000000209548</v>
      </c>
      <c r="C5">
        <v>1</v>
      </c>
      <c r="D5">
        <v>0</v>
      </c>
      <c r="E5">
        <v>1</v>
      </c>
    </row>
    <row r="6" spans="1:5" x14ac:dyDescent="0.25">
      <c r="A6" s="1">
        <f t="shared" ref="A6:A11" si="1">A5+TIME(0,0,6000)</f>
        <v>45829.277777777781</v>
      </c>
      <c r="B6">
        <f t="shared" si="0"/>
        <v>24000.000000279397</v>
      </c>
      <c r="C6">
        <v>0</v>
      </c>
      <c r="D6">
        <v>0</v>
      </c>
      <c r="E6">
        <v>1</v>
      </c>
    </row>
    <row r="7" spans="1:5" x14ac:dyDescent="0.25">
      <c r="A7" s="1">
        <f t="shared" si="1"/>
        <v>45829.347222222226</v>
      </c>
      <c r="B7">
        <f t="shared" si="0"/>
        <v>30000.000000349246</v>
      </c>
      <c r="C7">
        <v>1</v>
      </c>
      <c r="D7">
        <v>0</v>
      </c>
      <c r="E7">
        <v>1</v>
      </c>
    </row>
    <row r="8" spans="1:5" x14ac:dyDescent="0.25">
      <c r="A8" s="1">
        <f t="shared" si="1"/>
        <v>45829.416666666672</v>
      </c>
      <c r="B8">
        <f t="shared" si="0"/>
        <v>36000.000000419095</v>
      </c>
      <c r="C8">
        <v>0</v>
      </c>
      <c r="D8">
        <v>0</v>
      </c>
      <c r="E8">
        <v>1</v>
      </c>
    </row>
    <row r="9" spans="1:5" x14ac:dyDescent="0.25">
      <c r="A9" s="1">
        <f t="shared" si="1"/>
        <v>45829.486111111117</v>
      </c>
      <c r="B9">
        <f t="shared" si="0"/>
        <v>42000.000000488944</v>
      </c>
      <c r="C9">
        <v>1</v>
      </c>
      <c r="D9">
        <v>0</v>
      </c>
      <c r="E9">
        <v>1</v>
      </c>
    </row>
    <row r="10" spans="1:5" x14ac:dyDescent="0.25">
      <c r="A10" s="1">
        <f t="shared" si="1"/>
        <v>45829.555555555562</v>
      </c>
      <c r="B10">
        <f t="shared" si="0"/>
        <v>48000.000000558794</v>
      </c>
      <c r="C10">
        <v>0</v>
      </c>
      <c r="D10">
        <v>0</v>
      </c>
      <c r="E10">
        <v>1</v>
      </c>
    </row>
    <row r="11" spans="1:5" x14ac:dyDescent="0.25">
      <c r="A11" s="1">
        <f t="shared" si="1"/>
        <v>45829.625000000007</v>
      </c>
      <c r="B11">
        <f t="shared" si="0"/>
        <v>54000.000000628643</v>
      </c>
      <c r="C11">
        <v>1</v>
      </c>
      <c r="D11">
        <v>0</v>
      </c>
      <c r="E11">
        <v>1</v>
      </c>
    </row>
    <row r="12" spans="1:5" x14ac:dyDescent="0.25">
      <c r="A12" s="1">
        <f t="shared" ref="A12:A17" si="2">A11+TIME(0,0,6000)</f>
        <v>45829.694444444453</v>
      </c>
      <c r="B12">
        <f t="shared" ref="B12:B17" si="3">(A12 - A$2) * 86400</f>
        <v>60000.000000698492</v>
      </c>
      <c r="C12">
        <v>0</v>
      </c>
      <c r="D12">
        <v>0</v>
      </c>
      <c r="E12">
        <v>1</v>
      </c>
    </row>
    <row r="13" spans="1:5" x14ac:dyDescent="0.25">
      <c r="A13" s="1">
        <f t="shared" si="2"/>
        <v>45829.763888888898</v>
      </c>
      <c r="B13">
        <f t="shared" si="3"/>
        <v>66000.000000768341</v>
      </c>
      <c r="C13">
        <v>1</v>
      </c>
      <c r="D13">
        <v>0</v>
      </c>
      <c r="E13">
        <v>1</v>
      </c>
    </row>
    <row r="14" spans="1:5" x14ac:dyDescent="0.25">
      <c r="A14" s="1">
        <f t="shared" si="2"/>
        <v>45829.833333333343</v>
      </c>
      <c r="B14">
        <f t="shared" si="3"/>
        <v>72000.00000083819</v>
      </c>
      <c r="C14">
        <v>0</v>
      </c>
      <c r="D14">
        <v>0</v>
      </c>
      <c r="E14">
        <v>1</v>
      </c>
    </row>
    <row r="15" spans="1:5" x14ac:dyDescent="0.25">
      <c r="A15" s="1">
        <f t="shared" si="2"/>
        <v>45829.902777777788</v>
      </c>
      <c r="B15">
        <f t="shared" si="3"/>
        <v>78000.00000090804</v>
      </c>
      <c r="C15">
        <v>1</v>
      </c>
      <c r="D15">
        <v>0</v>
      </c>
      <c r="E15">
        <v>1</v>
      </c>
    </row>
    <row r="16" spans="1:5" x14ac:dyDescent="0.25">
      <c r="A16" s="1">
        <f t="shared" si="2"/>
        <v>45829.972222222234</v>
      </c>
      <c r="B16">
        <f t="shared" si="3"/>
        <v>84000.000000977889</v>
      </c>
      <c r="C16">
        <v>0</v>
      </c>
      <c r="D16">
        <v>0</v>
      </c>
      <c r="E16">
        <v>1</v>
      </c>
    </row>
    <row r="17" spans="1:5" x14ac:dyDescent="0.25">
      <c r="A17" s="1">
        <f t="shared" si="2"/>
        <v>45830.041666666679</v>
      </c>
      <c r="B17">
        <f t="shared" si="3"/>
        <v>90000.000001047738</v>
      </c>
      <c r="C17">
        <v>1</v>
      </c>
      <c r="D17">
        <v>0</v>
      </c>
      <c r="E17">
        <v>1</v>
      </c>
    </row>
    <row r="18" spans="1:5" x14ac:dyDescent="0.25">
      <c r="A18" s="1"/>
    </row>
    <row r="19" spans="1:5" x14ac:dyDescent="0.25">
      <c r="A19" s="1"/>
    </row>
    <row r="20" spans="1:5" x14ac:dyDescent="0.25">
      <c r="A20" s="1"/>
    </row>
    <row r="21" spans="1:5" x14ac:dyDescent="0.25">
      <c r="A21" s="1"/>
    </row>
    <row r="22" spans="1:5" x14ac:dyDescent="0.25">
      <c r="A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B499-0F8A-4D97-AFF8-4B6F410B306F}">
  <dimension ref="A1:E22"/>
  <sheetViews>
    <sheetView workbookViewId="0">
      <selection activeCell="C15" sqref="C15"/>
    </sheetView>
  </sheetViews>
  <sheetFormatPr defaultRowHeight="15" x14ac:dyDescent="0.25"/>
  <cols>
    <col min="1" max="1" width="19.42578125" bestFit="1" customWidth="1"/>
    <col min="2" max="2" width="10.28515625" customWidth="1"/>
    <col min="3" max="3" width="13.7109375" bestFit="1" customWidth="1"/>
    <col min="4" max="4" width="10.85546875" bestFit="1" customWidth="1"/>
    <col min="5" max="5" width="14.7109375" bestFit="1" customWidth="1"/>
  </cols>
  <sheetData>
    <row r="1" spans="1:5" x14ac:dyDescent="0.25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5" x14ac:dyDescent="0.25">
      <c r="A2" s="1">
        <v>45829</v>
      </c>
      <c r="B2">
        <f>(A2 - A$2) * 86400</f>
        <v>0</v>
      </c>
      <c r="C2">
        <v>1</v>
      </c>
      <c r="D2">
        <v>0</v>
      </c>
      <c r="E2">
        <v>1</v>
      </c>
    </row>
    <row r="3" spans="1:5" x14ac:dyDescent="0.25">
      <c r="A3" s="1">
        <v>45829.034722222219</v>
      </c>
      <c r="B3">
        <f>(A3 - A$2) * 86400</f>
        <v>2999.9999997206032</v>
      </c>
      <c r="C3">
        <v>1</v>
      </c>
      <c r="D3">
        <v>0</v>
      </c>
      <c r="E3">
        <v>1</v>
      </c>
    </row>
    <row r="4" spans="1:5" x14ac:dyDescent="0.25">
      <c r="A4" s="1">
        <v>45829.104166666664</v>
      </c>
      <c r="B4">
        <f t="shared" ref="B4:B21" si="0">(A4 - A$2) * 86400</f>
        <v>8999.9999997904524</v>
      </c>
      <c r="C4">
        <v>0</v>
      </c>
      <c r="D4">
        <v>0</v>
      </c>
      <c r="E4">
        <v>1</v>
      </c>
    </row>
    <row r="5" spans="1:5" x14ac:dyDescent="0.25">
      <c r="A5" s="1">
        <v>45829.146909722222</v>
      </c>
      <c r="B5">
        <f t="shared" si="0"/>
        <v>12692.999999946915</v>
      </c>
      <c r="C5">
        <v>1</v>
      </c>
      <c r="D5">
        <v>0</v>
      </c>
      <c r="E5">
        <v>1</v>
      </c>
    </row>
    <row r="6" spans="1:5" x14ac:dyDescent="0.25">
      <c r="A6" s="1">
        <v>45829.440972222219</v>
      </c>
      <c r="B6">
        <f t="shared" si="0"/>
        <v>38099.999999720603</v>
      </c>
      <c r="C6">
        <v>3</v>
      </c>
      <c r="D6">
        <v>0</v>
      </c>
      <c r="E6">
        <v>1</v>
      </c>
    </row>
    <row r="7" spans="1:5" x14ac:dyDescent="0.25">
      <c r="A7" s="1">
        <v>45829.480104166665</v>
      </c>
      <c r="B7">
        <f t="shared" si="0"/>
        <v>41480.99999986589</v>
      </c>
      <c r="C7">
        <v>1</v>
      </c>
      <c r="D7">
        <v>0</v>
      </c>
      <c r="E7">
        <v>1</v>
      </c>
    </row>
    <row r="8" spans="1:5" x14ac:dyDescent="0.25">
      <c r="A8" s="1">
        <v>45829.534722222219</v>
      </c>
      <c r="B8">
        <f t="shared" si="0"/>
        <v>46199.999999720603</v>
      </c>
      <c r="C8">
        <v>3</v>
      </c>
      <c r="D8">
        <v>0</v>
      </c>
      <c r="E8">
        <v>1</v>
      </c>
    </row>
    <row r="9" spans="1:5" x14ac:dyDescent="0.25">
      <c r="A9" s="1">
        <v>45829.561539351853</v>
      </c>
      <c r="B9">
        <f t="shared" si="0"/>
        <v>48517.000000085682</v>
      </c>
      <c r="C9">
        <v>1</v>
      </c>
      <c r="D9">
        <v>0</v>
      </c>
      <c r="E9">
        <v>1</v>
      </c>
    </row>
    <row r="10" spans="1:5" x14ac:dyDescent="0.25">
      <c r="A10" s="1">
        <v>45829.607638888891</v>
      </c>
      <c r="B10">
        <f t="shared" si="0"/>
        <v>52500.000000139698</v>
      </c>
      <c r="C10">
        <v>0</v>
      </c>
      <c r="D10">
        <v>0</v>
      </c>
      <c r="E10">
        <v>1</v>
      </c>
    </row>
    <row r="11" spans="1:5" x14ac:dyDescent="0.25">
      <c r="A11" s="1">
        <v>45829.622997685183</v>
      </c>
      <c r="B11">
        <f t="shared" si="0"/>
        <v>53826.999999792315</v>
      </c>
      <c r="C11">
        <v>1</v>
      </c>
      <c r="D11">
        <v>0</v>
      </c>
      <c r="E11">
        <v>1</v>
      </c>
    </row>
    <row r="12" spans="1:5" x14ac:dyDescent="0.25">
      <c r="A12" s="1">
        <v>45829.673611111109</v>
      </c>
      <c r="B12">
        <f t="shared" si="0"/>
        <v>58199.999999860302</v>
      </c>
      <c r="C12">
        <v>0</v>
      </c>
      <c r="D12">
        <v>0</v>
      </c>
      <c r="E12">
        <v>1</v>
      </c>
    </row>
    <row r="13" spans="1:5" x14ac:dyDescent="0.25">
      <c r="A13" s="1">
        <v>45829.687951388885</v>
      </c>
      <c r="B13">
        <f t="shared" si="0"/>
        <v>59438.999999687076</v>
      </c>
      <c r="C13">
        <v>1</v>
      </c>
      <c r="D13">
        <v>0</v>
      </c>
      <c r="E13">
        <v>1</v>
      </c>
    </row>
    <row r="14" spans="1:5" x14ac:dyDescent="0.25">
      <c r="A14" s="1">
        <v>45829.739583333336</v>
      </c>
      <c r="B14">
        <f t="shared" si="0"/>
        <v>63900.000000209548</v>
      </c>
      <c r="C14">
        <v>0</v>
      </c>
      <c r="D14">
        <v>0</v>
      </c>
      <c r="E14">
        <v>1</v>
      </c>
    </row>
    <row r="15" spans="1:5" x14ac:dyDescent="0.25">
      <c r="A15" s="1">
        <v>45829.754143518519</v>
      </c>
      <c r="B15">
        <f t="shared" si="0"/>
        <v>65158.0000000773</v>
      </c>
      <c r="C15">
        <v>1</v>
      </c>
      <c r="D15">
        <v>0</v>
      </c>
      <c r="E15">
        <v>1</v>
      </c>
    </row>
    <row r="16" spans="1:5" x14ac:dyDescent="0.25">
      <c r="A16" s="1">
        <v>45829.805555555555</v>
      </c>
      <c r="B16">
        <f t="shared" si="0"/>
        <v>69599.999999930151</v>
      </c>
      <c r="C16">
        <v>0</v>
      </c>
      <c r="D16">
        <v>0</v>
      </c>
      <c r="E16">
        <v>1</v>
      </c>
    </row>
    <row r="17" spans="1:5" x14ac:dyDescent="0.25">
      <c r="A17" s="1">
        <v>45829.818287037036</v>
      </c>
      <c r="B17">
        <f t="shared" si="0"/>
        <v>70699.999999953434</v>
      </c>
      <c r="C17">
        <v>1</v>
      </c>
      <c r="D17">
        <v>0</v>
      </c>
      <c r="E17">
        <v>1</v>
      </c>
    </row>
    <row r="18" spans="1:5" x14ac:dyDescent="0.25">
      <c r="A18" s="1">
        <v>45829.916666666664</v>
      </c>
      <c r="B18">
        <f t="shared" si="0"/>
        <v>79199.999999790452</v>
      </c>
      <c r="C18">
        <v>3</v>
      </c>
      <c r="D18">
        <v>0</v>
      </c>
      <c r="E18">
        <v>1</v>
      </c>
    </row>
    <row r="19" spans="1:5" x14ac:dyDescent="0.25">
      <c r="A19" s="1">
        <v>45829.929548611108</v>
      </c>
      <c r="B19">
        <f t="shared" si="0"/>
        <v>80312.999999709427</v>
      </c>
      <c r="C19">
        <v>1</v>
      </c>
      <c r="D19">
        <v>0</v>
      </c>
      <c r="E19">
        <v>1</v>
      </c>
    </row>
    <row r="20" spans="1:5" x14ac:dyDescent="0.25">
      <c r="A20" s="1">
        <v>45829.94027777778</v>
      </c>
      <c r="B20">
        <f t="shared" si="0"/>
        <v>81240.000000153668</v>
      </c>
      <c r="C20">
        <v>3</v>
      </c>
      <c r="D20">
        <v>0</v>
      </c>
      <c r="E20">
        <v>1</v>
      </c>
    </row>
    <row r="21" spans="1:5" x14ac:dyDescent="0.25">
      <c r="A21" s="1">
        <v>45829.995740740742</v>
      </c>
      <c r="B21">
        <f t="shared" si="0"/>
        <v>86032.000000099652</v>
      </c>
      <c r="C21">
        <v>1</v>
      </c>
      <c r="D21">
        <v>0</v>
      </c>
      <c r="E21">
        <v>1</v>
      </c>
    </row>
    <row r="22" spans="1:5" x14ac:dyDescent="0.25">
      <c r="A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61B3-AFD8-4F7C-967A-93054B339675}">
  <dimension ref="A1:F21"/>
  <sheetViews>
    <sheetView workbookViewId="0">
      <selection activeCell="B2" sqref="B2:B21"/>
    </sheetView>
  </sheetViews>
  <sheetFormatPr defaultRowHeight="15" x14ac:dyDescent="0.25"/>
  <cols>
    <col min="1" max="1" width="18.28515625" bestFit="1" customWidth="1"/>
  </cols>
  <sheetData>
    <row r="1" spans="1:6" x14ac:dyDescent="0.25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6" x14ac:dyDescent="0.25">
      <c r="A2" s="1">
        <v>45829</v>
      </c>
      <c r="B2">
        <f>(A2 - A$2) * 86400</f>
        <v>0</v>
      </c>
      <c r="C2">
        <v>7</v>
      </c>
      <c r="D2">
        <v>0</v>
      </c>
      <c r="E2">
        <v>0</v>
      </c>
      <c r="F2" s="2" t="s">
        <v>14</v>
      </c>
    </row>
    <row r="3" spans="1:6" x14ac:dyDescent="0.25">
      <c r="A3" s="1">
        <f>A2 + TIME(0, 30, 0)</f>
        <v>45829.020833333336</v>
      </c>
      <c r="B3">
        <f>(A3 - A$2) * 86400</f>
        <v>1800.0000002095476</v>
      </c>
      <c r="C3">
        <v>4</v>
      </c>
      <c r="D3">
        <v>1</v>
      </c>
      <c r="E3">
        <v>1</v>
      </c>
    </row>
    <row r="4" spans="1:6" x14ac:dyDescent="0.25">
      <c r="A4" s="1">
        <v>45829.133333333331</v>
      </c>
      <c r="B4">
        <f t="shared" ref="B4:B21" si="0">(A4 - A$2) * 86400</f>
        <v>11519.999999832362</v>
      </c>
      <c r="C4">
        <v>0</v>
      </c>
      <c r="D4">
        <v>0</v>
      </c>
      <c r="E4">
        <v>1</v>
      </c>
    </row>
    <row r="5" spans="1:6" x14ac:dyDescent="0.25">
      <c r="A5" s="1">
        <v>45829.146909722222</v>
      </c>
      <c r="B5">
        <f t="shared" si="0"/>
        <v>12692.999999946915</v>
      </c>
      <c r="C5">
        <v>1</v>
      </c>
      <c r="D5">
        <v>0</v>
      </c>
      <c r="E5">
        <v>1</v>
      </c>
    </row>
    <row r="6" spans="1:6" x14ac:dyDescent="0.25">
      <c r="A6" s="1">
        <v>45829.46875</v>
      </c>
      <c r="B6">
        <f t="shared" si="0"/>
        <v>40500</v>
      </c>
      <c r="C6">
        <v>3</v>
      </c>
      <c r="D6">
        <v>0</v>
      </c>
      <c r="E6">
        <v>1</v>
      </c>
    </row>
    <row r="7" spans="1:6" x14ac:dyDescent="0.25">
      <c r="A7" s="1">
        <v>45829.480104166665</v>
      </c>
      <c r="B7">
        <f t="shared" si="0"/>
        <v>41480.99999986589</v>
      </c>
      <c r="C7">
        <v>1</v>
      </c>
      <c r="D7">
        <v>0</v>
      </c>
      <c r="E7">
        <v>1</v>
      </c>
    </row>
    <row r="8" spans="1:6" x14ac:dyDescent="0.25">
      <c r="A8" s="1">
        <v>45829.534722222219</v>
      </c>
      <c r="B8">
        <f t="shared" si="0"/>
        <v>46199.999999720603</v>
      </c>
      <c r="C8">
        <v>3</v>
      </c>
      <c r="D8">
        <v>0</v>
      </c>
      <c r="E8">
        <v>1</v>
      </c>
    </row>
    <row r="9" spans="1:6" x14ac:dyDescent="0.25">
      <c r="A9" s="1">
        <v>45829.547650462962</v>
      </c>
      <c r="B9">
        <f t="shared" si="0"/>
        <v>47316.999999945983</v>
      </c>
      <c r="C9">
        <v>1</v>
      </c>
      <c r="D9">
        <v>0</v>
      </c>
      <c r="E9">
        <v>1</v>
      </c>
    </row>
    <row r="10" spans="1:6" x14ac:dyDescent="0.25">
      <c r="A10" s="1">
        <v>45829.607638888891</v>
      </c>
      <c r="B10">
        <f t="shared" si="0"/>
        <v>52500.000000139698</v>
      </c>
      <c r="C10">
        <v>0</v>
      </c>
      <c r="D10">
        <v>0</v>
      </c>
      <c r="E10">
        <v>1</v>
      </c>
    </row>
    <row r="11" spans="1:6" x14ac:dyDescent="0.25">
      <c r="A11" s="1">
        <v>45829.622997685183</v>
      </c>
      <c r="B11">
        <f t="shared" si="0"/>
        <v>53826.999999792315</v>
      </c>
      <c r="C11">
        <v>1</v>
      </c>
      <c r="D11">
        <v>0</v>
      </c>
      <c r="E11">
        <v>1</v>
      </c>
    </row>
    <row r="12" spans="1:6" x14ac:dyDescent="0.25">
      <c r="A12" s="1">
        <v>45829.673611111109</v>
      </c>
      <c r="B12">
        <f t="shared" si="0"/>
        <v>58199.999999860302</v>
      </c>
      <c r="C12">
        <v>0</v>
      </c>
      <c r="D12">
        <v>0</v>
      </c>
      <c r="E12">
        <v>1</v>
      </c>
    </row>
    <row r="13" spans="1:6" x14ac:dyDescent="0.25">
      <c r="A13" s="1">
        <v>45829.687951388885</v>
      </c>
      <c r="B13">
        <f t="shared" si="0"/>
        <v>59438.999999687076</v>
      </c>
      <c r="C13">
        <v>1</v>
      </c>
      <c r="D13">
        <v>0</v>
      </c>
      <c r="E13">
        <v>1</v>
      </c>
    </row>
    <row r="14" spans="1:6" x14ac:dyDescent="0.25">
      <c r="A14" s="1">
        <v>45829.739583333336</v>
      </c>
      <c r="B14">
        <f t="shared" si="0"/>
        <v>63900.000000209548</v>
      </c>
      <c r="C14">
        <v>0</v>
      </c>
      <c r="D14">
        <v>0</v>
      </c>
      <c r="E14">
        <v>1</v>
      </c>
    </row>
    <row r="15" spans="1:6" x14ac:dyDescent="0.25">
      <c r="A15" s="1">
        <v>45829.754143518519</v>
      </c>
      <c r="B15">
        <f t="shared" si="0"/>
        <v>65158.0000000773</v>
      </c>
      <c r="C15">
        <v>1</v>
      </c>
      <c r="D15">
        <v>0</v>
      </c>
      <c r="E15">
        <v>1</v>
      </c>
    </row>
    <row r="16" spans="1:6" x14ac:dyDescent="0.25">
      <c r="A16" s="1">
        <v>45829.805555555555</v>
      </c>
      <c r="B16">
        <f t="shared" si="0"/>
        <v>69599.999999930151</v>
      </c>
      <c r="C16">
        <v>0</v>
      </c>
      <c r="D16">
        <v>0</v>
      </c>
      <c r="E16">
        <v>1</v>
      </c>
    </row>
    <row r="17" spans="1:5" x14ac:dyDescent="0.25">
      <c r="A17" s="1">
        <v>45829.818287037036</v>
      </c>
      <c r="B17">
        <f t="shared" si="0"/>
        <v>70699.999999953434</v>
      </c>
      <c r="C17">
        <v>1</v>
      </c>
      <c r="D17">
        <v>0</v>
      </c>
      <c r="E17">
        <v>1</v>
      </c>
    </row>
    <row r="18" spans="1:5" x14ac:dyDescent="0.25">
      <c r="A18" s="1">
        <v>45829.916666666664</v>
      </c>
      <c r="B18">
        <f t="shared" si="0"/>
        <v>79199.999999790452</v>
      </c>
      <c r="C18">
        <v>3</v>
      </c>
      <c r="D18">
        <v>0</v>
      </c>
      <c r="E18">
        <v>1</v>
      </c>
    </row>
    <row r="19" spans="1:5" x14ac:dyDescent="0.25">
      <c r="A19" s="1">
        <v>45829.929548611108</v>
      </c>
      <c r="B19">
        <f t="shared" si="0"/>
        <v>80312.999999709427</v>
      </c>
      <c r="C19">
        <v>1</v>
      </c>
      <c r="D19">
        <v>0</v>
      </c>
      <c r="E19">
        <v>1</v>
      </c>
    </row>
    <row r="20" spans="1:5" x14ac:dyDescent="0.25">
      <c r="A20" s="1">
        <v>45829.94027777778</v>
      </c>
      <c r="B20">
        <f t="shared" si="0"/>
        <v>81240.000000153668</v>
      </c>
      <c r="C20">
        <v>3</v>
      </c>
      <c r="D20">
        <v>0</v>
      </c>
      <c r="E20">
        <v>1</v>
      </c>
    </row>
    <row r="21" spans="1:5" x14ac:dyDescent="0.25">
      <c r="A21" s="1">
        <v>45829.995740740742</v>
      </c>
      <c r="B21">
        <f t="shared" si="0"/>
        <v>86032.000000099652</v>
      </c>
      <c r="C21">
        <v>1</v>
      </c>
      <c r="D21">
        <v>0</v>
      </c>
      <c r="E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20" zoomScaleNormal="120" workbookViewId="0">
      <selection activeCell="A4" sqref="A4:B4"/>
    </sheetView>
  </sheetViews>
  <sheetFormatPr defaultRowHeight="15" x14ac:dyDescent="0.25"/>
  <cols>
    <col min="1" max="1" width="14.140625" bestFit="1" customWidth="1"/>
    <col min="2" max="2" width="16.28515625" customWidth="1"/>
    <col min="3" max="3" width="10.85546875" bestFit="1" customWidth="1"/>
    <col min="4" max="4" width="14.710937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>
        <v>0</v>
      </c>
      <c r="B2" t="s">
        <v>7</v>
      </c>
    </row>
    <row r="3" spans="1:2" x14ac:dyDescent="0.25">
      <c r="A3">
        <v>1</v>
      </c>
      <c r="B3" t="s">
        <v>8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  <row r="6" spans="1:2" x14ac:dyDescent="0.25">
      <c r="A6">
        <v>5</v>
      </c>
      <c r="B6" t="s">
        <v>11</v>
      </c>
    </row>
    <row r="7" spans="1:2" x14ac:dyDescent="0.25">
      <c r="A7">
        <v>6</v>
      </c>
      <c r="B7" t="s">
        <v>12</v>
      </c>
    </row>
    <row r="8" spans="1:2" x14ac:dyDescent="0.25">
      <c r="A8">
        <v>7</v>
      </c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commands</vt:lpstr>
      <vt:lpstr>21_06_2025</vt:lpstr>
      <vt:lpstr>LEOP Scenario - 1 Day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 Dhawan</dc:creator>
  <cp:lastModifiedBy>Nimish Dhawan</cp:lastModifiedBy>
  <dcterms:created xsi:type="dcterms:W3CDTF">2015-06-05T18:17:20Z</dcterms:created>
  <dcterms:modified xsi:type="dcterms:W3CDTF">2025-10-25T20:30:54Z</dcterms:modified>
</cp:coreProperties>
</file>